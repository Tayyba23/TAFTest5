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activeTab="1"/>
  </bookViews>
  <sheets>
    <sheet name="Document Information" sheetId="13" r:id="rId1"/>
    <sheet name="Configuration Parameters" sheetId="9" r:id="rId2"/>
    <sheet name="Row Count &amp; Metrics Collection" sheetId="1" r:id="rId3"/>
    <sheet name="Test Script Execution" sheetId="18" r:id="rId4"/>
    <sheet name="Sheet1" sheetId="19" r:id="rId5"/>
    <sheet name="Release Package Information" sheetId="10" r:id="rId6"/>
    <sheet name="Execution Status Check" sheetId="11" r:id="rId7"/>
    <sheet name="Duplicate Data Verification" sheetId="2" r:id="rId8"/>
    <sheet name="RI Verification" sheetId="3" r:id="rId9"/>
    <sheet name="History Verification" sheetId="4" r:id="rId10"/>
    <sheet name="Minus Test" sheetId="16" r:id="rId11"/>
    <sheet name="Surrogate Key Verification" sheetId="17" r:id="rId12"/>
    <sheet name="Exception List" sheetId="5" r:id="rId13"/>
    <sheet name="Lookup Values" sheetId="6" r:id="rId14"/>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K17" i="4" l="1" a="1"/>
  <c r="K17" i="4" s="1"/>
  <c r="L17" i="4" s="1"/>
  <c r="M17" i="4"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<sst xmlns="http://schemas.openxmlformats.org/spreadsheetml/2006/main" count="606" uniqueCount="353">
  <si>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</si>
  <si>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</si>
  <si>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</si>
  <si>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</si>
  <si>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</si>
  <si>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</si>
  <si>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</si>
  <si>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</si>
  <si>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</si>
  <si>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</si>
  <si>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</si>
  <si>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</si>
  <si>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</si>
  <si>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</si>
  <si>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</si>
  <si>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</si>
  <si>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</si>
  <si>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</si>
  <si>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</si>
  <si>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</si>
  <si>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</si>
  <si>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</si>
  <si>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</si>
  <si>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</si>
  <si>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</si>
  <si>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</si>
  <si>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</si>
  <si>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</si>
  <si>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</si>
  <si>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</si>
  <si>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</si>
  <si>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</si>
  <si>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</si>
  <si>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</si>
  <si>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</si>
  <si>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</si>
  <si>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</si>
  <si>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</si>
  <si>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</si>
  <si>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</si>
  <si>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</si>
  <si>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</si>
  <si>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</si>
  <si>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</si>
  <si>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</si>
  <si>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</si>
  <si>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</si>
  <si>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</si>
  <si>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</si>
  <si>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</si>
  <si>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</si>
  <si>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</si>
  <si>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</si>
  <si>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</si>
  <si>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</si>
  <si>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</si>
  <si>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</si>
  <si>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</si>
  <si>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</si>
  <si>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</si>
  <si>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</si>
  <si>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</si>
  <si>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</si>
  <si>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</si>
  <si>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</si>
  <si>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</si>
  <si>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</si>
  <si>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</si>
  <si>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</si>
  <si>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</si>
  <si>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</si>
  <si>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</si>
  <si>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</si>
  <si>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</si>
  <si>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</si>
  <si>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</si>
  <si>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</si>
  <si>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</si>
  <si>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</si>
  <si>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</si>
  <si>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</si>
  <si>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</si>
  <si>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</si>
  <si>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</si>
  <si>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</si>
  <si>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</si>
  <si>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</si>
  <si>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</si>
  <si>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</si>
  <si>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</si>
  <si>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</si>
  <si>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</si>
  <si>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</si>
  <si>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</si>
  <si>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</si>
  <si>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</si>
  <si>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</si>
  <si>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</si>
  <si>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</si>
  <si>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</si>
  <si>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</si>
  <si>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</si>
  <si>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</si>
  <si>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</si>
  <si>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</si>
  <si>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</si>
  <si>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</si>
  <si>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</si>
  <si>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</si>
  <si>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</si>
  <si>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</si>
  <si>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</si>
  <si>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</si>
  <si>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</si>
  <si>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</si>
  <si>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</si>
  <si>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</si>
  <si>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</si>
  <si>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</si>
  <si>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</si>
  <si>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</si>
  <si>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</si>
  <si>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</si>
  <si>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</si>
  <si>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</si>
  <si>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</si>
  <si>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</si>
  <si>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</si>
  <si>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</si>
  <si>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</si>
  <si>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</si>
  <si>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</si>
  <si>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</si>
  <si>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</si>
  <si>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</si>
  <si>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</si>
  <si>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</si>
  <si>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</si>
  <si>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</si>
  <si>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</si>
  <si>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</si>
  <si>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</si>
  <si>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</si>
  <si>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</si>
  <si>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</si>
  <si>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</si>
  <si>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</si>
  <si>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</si>
  <si>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</si>
  <si>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</si>
  <si>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</si>
  <si>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</si>
  <si>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</si>
  <si>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</si>
  <si>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</si>
  <si>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</si>
  <si>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</si>
  <si>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</si>
  <si>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</si>
  <si>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</si>
  <si>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</si>
  <si>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</si>
  <si>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</si>
  <si>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</si>
  <si>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</si>
  <si>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</si>
  <si>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</si>
  <si>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</si>
  <si>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</si>
  <si>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</si>
  <si>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</si>
  <si>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</si>
  <si>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</si>
  <si>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</si>
  <si>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</si>
  <si>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</si>
  <si>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</si>
  <si>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</si>
  <si>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</si>
  <si>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</si>
  <si>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</si>
  <si>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</si>
  <si>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</si>
  <si>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</si>
  <si>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</si>
  <si>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</si>
  <si>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</si>
  <si>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</si>
  <si>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</si>
  <si>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</si>
  <si>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</si>
  <si>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</si>
  <si>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</si>
  <si>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</si>
  <si>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</si>
  <si>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</si>
  <si>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</si>
  <si>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</si>
  <si>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</si>
  <si>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</si>
  <si>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</si>
  <si>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</si>
  <si>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</si>
  <si>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</si>
  <si>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</si>
  <si>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</si>
  <si>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</si>
  <si>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</si>
  <si>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</si>
  <si>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</si>
  <si>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</si>
  <si>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</si>
  <si>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</si>
  <si>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</si>
  <si>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</si>
  <si>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</si>
  <si>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</si>
  <si>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</si>
  <si>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</si>
  <si>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</si>
  <si>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</si>
  <si>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</si>
  <si>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</si>
  <si>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</si>
  <si>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</si>
  <si>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</si>
  <si>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</si>
  <si>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</si>
  <si>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</si>
  <si>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</si>
  <si>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</si>
  <si>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</si>
  <si>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</si>
  <si>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</si>
  <si>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</si>
  <si>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</si>
  <si>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</si>
  <si>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</si>
  <si>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</si>
  <si>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</si>
  <si>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</si>
  <si>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</si>
  <si>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</si>
  <si>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</si>
  <si>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</si>
  <si>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</si>
  <si>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</si>
  <si>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</si>
  <si>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</si>
  <si>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</si>
  <si>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</si>
  <si>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</si>
  <si>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</si>
  <si>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</si>
  <si>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</si>
  <si>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</si>
  <si>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</si>
  <si>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</si>
  <si>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</si>
  <si>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</si>
  <si>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</si>
  <si>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</si>
  <si>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</si>
  <si>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</si>
  <si>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</si>
  <si>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</si>
  <si>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</si>
  <si>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</si>
  <si>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</si>
  <si>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</si>
  <si>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</si>
  <si>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</si>
  <si>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</si>
  <si>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</si>
  <si>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</si>
  <si>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</si>
  <si>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</si>
  <si>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</si>
  <si>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</si>
  <si>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</si>
  <si>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</si>
  <si>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</si>
  <si>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</si>
  <si>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</si>
  <si>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</si>
  <si>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</si>
  <si>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</si>
  <si>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</si>
  <si>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</si>
  <si>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</si>
  <si>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</si>
  <si>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</si>
  <si>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</si>
  <si>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</si>
  <si>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</si>
  <si>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</si>
  <si>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</si>
  <si>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</si>
  <si>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</si>
  <si>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</si>
  <si>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</si>
  <si>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</si>
  <si>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</si>
  <si>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</si>
  <si>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</si>
  <si>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</si>
  <si>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</si>
  <si>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</si>
  <si>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</si>
  <si>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</si>
  <si>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</si>
  <si>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</si>
  <si>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</si>
  <si>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</si>
  <si>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</si>
  <si>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</si>
  <si>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</si>
  <si>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</si>
  <si>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</si>
  <si>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</si>
  <si>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</si>
  <si>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</si>
  <si>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</si>
  <si>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</si>
  <si>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</si>
  <si>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</si>
  <si>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</si>
  <si>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</si>
  <si>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</si>
  <si>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</si>
  <si>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</si>
  <si>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</si>
  <si>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</si>
  <si>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</si>
  <si>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</si>
  <si>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</si>
  <si>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</si>
  <si>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</si>
  <si>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</si>
  <si>
    <t>checking_tran</t>
  </si>
  <si>
    <t>cust_id,acct_nbr</t>
  </si>
  <si>
    <t>credit_acct</t>
  </si>
  <si>
    <t>AllContractorEmployee</t>
  </si>
  <si>
    <t>credit_tran</t>
  </si>
  <si>
    <t>TST08</t>
  </si>
  <si>
    <t>TST09</t>
  </si>
  <si>
    <t>TST10</t>
  </si>
  <si>
    <t>TST11</t>
  </si>
  <si>
    <t>TST12</t>
  </si>
  <si>
    <t>Tran_Id,Cust_id</t>
  </si>
  <si>
    <t>Tran_Id,Cust_id,acct_nbr</t>
  </si>
  <si>
    <t>TAFPipe4</t>
  </si>
  <si>
    <t>10,12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</si>
</sst>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topLeftCell="A67"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topLeftCell="A2" zoomScaleNormal="100" workbookViewId="0">
      <selection activeCell="B7" sqref="B7"/>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t="s">
        <v>352</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M26" sqref="M2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9" sqref="F9"/>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22.2851562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340</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A7" s="38">
        <v>1</v>
      </c>
      <c r="B7" s="38">
        <v>1</v>
      </c>
      <c r="C7" s="19" t="s">
        <v>344</v>
      </c>
      <c r="D7" s="6" t="s">
        <v>329</v>
      </c>
      <c r="E7" t="s">
        <v>342</v>
      </c>
      <c r="F7" s="6" t="s">
        <v>338</v>
      </c>
      <c r="G7" s="66" t="str">
        <f t="shared" si="2"/>
        <v>tafd|AllContractorEmployee</v>
      </c>
      <c r="H7" s="66" t="str">
        <f t="array" ref="H7">IFERROR(INDEX($G$2:$G$1987,MATCH(0,COUNTIF($H$1:H6,$G$2:$G$1987),0)),"")</f>
        <v/>
      </c>
      <c r="I7" s="5" t="str">
        <f t="shared" si="0"/>
        <v/>
      </c>
      <c r="J7" s="5" t="str">
        <f t="shared" si="1"/>
        <v/>
      </c>
      <c r="K7" s="5"/>
    </row>
    <row r="8" spans="1:18" x14ac:dyDescent="0.25">
      <c r="A8" s="38">
        <v>1</v>
      </c>
      <c r="B8" s="38">
        <v>1</v>
      </c>
      <c r="C8" s="19" t="s">
        <v>345</v>
      </c>
      <c r="D8" s="6" t="s">
        <v>329</v>
      </c>
      <c r="E8" t="s">
        <v>339</v>
      </c>
      <c r="F8" s="135" t="s">
        <v>349</v>
      </c>
      <c r="G8" s="66" t="str">
        <f t="shared" si="2"/>
        <v>tafd|checking_tran</v>
      </c>
      <c r="H8" s="66" t="str">
        <f t="array" ref="H8">IFERROR(INDEX($G$2:$G$1987,MATCH(0,COUNTIF($H$1:H7,$G$2:$G$1987),0)),"")</f>
        <v/>
      </c>
      <c r="I8" s="5" t="str">
        <f t="shared" si="0"/>
        <v/>
      </c>
      <c r="J8" s="5" t="str">
        <f t="shared" si="1"/>
        <v/>
      </c>
      <c r="K8" s="5"/>
    </row>
    <row r="9" spans="1:18" x14ac:dyDescent="0.25">
      <c r="A9" s="38">
        <v>1</v>
      </c>
      <c r="B9" s="38">
        <v>1</v>
      </c>
      <c r="C9" s="19" t="s">
        <v>346</v>
      </c>
      <c r="D9" s="6" t="s">
        <v>329</v>
      </c>
      <c r="E9" t="s">
        <v>341</v>
      </c>
      <c r="F9" s="135" t="s">
        <v>340</v>
      </c>
      <c r="G9" s="66" t="str">
        <f t="shared" si="2"/>
        <v>tafd|credit_acct</v>
      </c>
      <c r="H9" s="66" t="str">
        <f t="array" ref="H9">IFERROR(INDEX($G$2:$G$1987,MATCH(0,COUNTIF($H$1:H8,$G$2:$G$1987),0)),"")</f>
        <v/>
      </c>
      <c r="I9" s="5" t="str">
        <f t="shared" si="0"/>
        <v/>
      </c>
      <c r="J9" s="5" t="str">
        <f t="shared" si="1"/>
        <v/>
      </c>
      <c r="K9" s="5"/>
    </row>
    <row r="10" spans="1:18" x14ac:dyDescent="0.25">
      <c r="A10" s="38">
        <v>1</v>
      </c>
      <c r="B10" s="38">
        <v>1</v>
      </c>
      <c r="C10" s="19" t="s">
        <v>347</v>
      </c>
      <c r="D10" s="6" t="s">
        <v>329</v>
      </c>
      <c r="E10" t="s">
        <v>310</v>
      </c>
      <c r="F10" s="135" t="s">
        <v>340</v>
      </c>
      <c r="G10" s="66" t="str">
        <f t="shared" si="2"/>
        <v>tafd|checking_acct</v>
      </c>
      <c r="H10" s="66" t="str">
        <f t="array" ref="H10">IFERROR(INDEX($G$2:$G$1987,MATCH(0,COUNTIF($H$1:H9,$G$2:$G$1987),0)),"")</f>
        <v/>
      </c>
      <c r="I10" s="5" t="str">
        <f t="shared" si="0"/>
        <v/>
      </c>
      <c r="J10" s="5" t="str">
        <f t="shared" si="1"/>
        <v/>
      </c>
      <c r="K10" s="5"/>
    </row>
    <row r="11" spans="1:18" x14ac:dyDescent="0.25">
      <c r="A11" s="38">
        <v>1</v>
      </c>
      <c r="B11" s="38">
        <v>1</v>
      </c>
      <c r="C11" s="19" t="s">
        <v>348</v>
      </c>
      <c r="D11" s="6" t="s">
        <v>329</v>
      </c>
      <c r="E11" t="s">
        <v>343</v>
      </c>
      <c r="F11" s="135" t="s">
        <v>350</v>
      </c>
      <c r="G11" s="66" t="s">
        <v>61</v>
      </c>
      <c r="H11" s="66" t="str">
        <f t="array" ref="H11">IFERROR(INDEX($G$2:$G$1987,MATCH(0,COUNTIF($H$1:H10,$G$2:$G$1987),0)),"")</f>
        <v/>
      </c>
      <c r="I11" s="5" t="str">
        <f t="shared" si="0"/>
        <v/>
      </c>
      <c r="J11" s="5" t="str">
        <f t="shared" si="1"/>
        <v/>
      </c>
      <c r="K11" s="5"/>
    </row>
    <row r="12" spans="1:18" x14ac:dyDescent="0.25">
      <c r="A12" s="38"/>
      <c r="B12" s="38"/>
      <c r="C12" s="19"/>
      <c r="D12" s="5"/>
      <c r="I12" s="5"/>
      <c r="J12" s="5"/>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H2" sqref="H2"/>
    </sheetView>
  </sheetViews>
  <sheetFormatPr defaultRowHeight="15" x14ac:dyDescent="0.25"/>
  <cols>
    <col min="1" max="1" width="11" style="10" customWidth="1"/>
    <col min="2" max="2" width="15.28515625" style="10" customWidth="1"/>
    <col min="3" max="3" width="12.5703125"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304</v>
      </c>
      <c r="D2" s="6" t="s">
        <v>329</v>
      </c>
      <c r="E2" s="6" t="s">
        <v>337</v>
      </c>
      <c r="F2" s="131" t="s">
        <v>338</v>
      </c>
      <c r="G2" s="6" t="s">
        <v>329</v>
      </c>
      <c r="H2" s="6" t="s">
        <v>307</v>
      </c>
      <c r="I2" s="6" t="s">
        <v>338</v>
      </c>
    </row>
    <row r="3" spans="1:9" x14ac:dyDescent="0.25">
      <c r="A3" s="9">
        <v>1</v>
      </c>
      <c r="B3" s="9">
        <v>1</v>
      </c>
      <c r="C3" s="6" t="s">
        <v>304</v>
      </c>
      <c r="D3" s="6" t="s">
        <v>329</v>
      </c>
      <c r="E3" s="6" t="s">
        <v>330</v>
      </c>
      <c r="F3" s="135" t="s">
        <v>332</v>
      </c>
      <c r="G3" s="135" t="s">
        <v>329</v>
      </c>
      <c r="H3" s="135" t="s">
        <v>331</v>
      </c>
      <c r="I3" s="135" t="s">
        <v>332</v>
      </c>
    </row>
    <row r="4" spans="1:9" x14ac:dyDescent="0.25">
      <c r="A4" s="9">
        <v>1</v>
      </c>
      <c r="B4" s="9">
        <v>1</v>
      </c>
      <c r="C4" s="6" t="s">
        <v>304</v>
      </c>
      <c r="D4" s="6" t="s">
        <v>329</v>
      </c>
      <c r="E4" s="6" t="s">
        <v>331</v>
      </c>
      <c r="F4" s="135" t="s">
        <v>332</v>
      </c>
      <c r="G4" s="135" t="s">
        <v>329</v>
      </c>
      <c r="H4" s="135" t="s">
        <v>310</v>
      </c>
      <c r="I4" s="135" t="s">
        <v>332</v>
      </c>
    </row>
    <row r="5" spans="1:9" x14ac:dyDescent="0.25">
      <c r="A5" s="9">
        <v>1</v>
      </c>
      <c r="B5" s="9">
        <v>1</v>
      </c>
      <c r="C5" s="6" t="s">
        <v>304</v>
      </c>
      <c r="D5" s="6" t="s">
        <v>329</v>
      </c>
      <c r="E5" s="6" t="s">
        <v>310</v>
      </c>
      <c r="F5" s="135" t="s">
        <v>340</v>
      </c>
      <c r="G5" s="135" t="s">
        <v>329</v>
      </c>
      <c r="H5" s="135" t="s">
        <v>339</v>
      </c>
      <c r="I5" s="135" t="s">
        <v>340</v>
      </c>
    </row>
    <row r="6" spans="1:9" x14ac:dyDescent="0.25">
      <c r="A6" s="9">
        <v>1</v>
      </c>
      <c r="B6" s="9">
        <v>1</v>
      </c>
      <c r="C6" s="6" t="s">
        <v>304</v>
      </c>
      <c r="D6" s="6" t="s">
        <v>329</v>
      </c>
      <c r="E6" s="6" t="s">
        <v>310</v>
      </c>
      <c r="F6" s="135" t="s">
        <v>340</v>
      </c>
      <c r="G6" s="135" t="s">
        <v>329</v>
      </c>
      <c r="H6" t="s">
        <v>341</v>
      </c>
      <c r="I6" s="135" t="s">
        <v>340</v>
      </c>
    </row>
    <row r="7" spans="1:9" x14ac:dyDescent="0.25">
      <c r="A7" s="9">
        <v>1</v>
      </c>
      <c r="B7" s="9">
        <v>1</v>
      </c>
      <c r="C7" s="6" t="s">
        <v>351</v>
      </c>
      <c r="D7" s="6" t="s">
        <v>329</v>
      </c>
      <c r="E7" s="5" t="s">
        <v>342</v>
      </c>
      <c r="F7" s="131" t="s">
        <v>338</v>
      </c>
      <c r="G7" s="135" t="s">
        <v>329</v>
      </c>
      <c r="H7" s="6" t="s">
        <v>309</v>
      </c>
      <c r="I7" s="6" t="s">
        <v>338</v>
      </c>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9" sqref="E9"/>
    </sheetView>
  </sheetViews>
  <sheetFormatPr defaultRowHeight="15" x14ac:dyDescent="0.25"/>
  <cols>
    <col min="1" max="1" width="9.28515625" style="10" bestFit="1" customWidth="1"/>
    <col min="2" max="2" width="13.28515625" style="10" bestFit="1" customWidth="1"/>
    <col min="3" max="3" width="22.5703125"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304</v>
      </c>
      <c r="D2" s="6" t="s">
        <v>181</v>
      </c>
      <c r="E2" s="6" t="s">
        <v>295</v>
      </c>
      <c r="F2" s="6" t="s">
        <v>299</v>
      </c>
      <c r="G2" s="6" t="s">
        <v>0</v>
      </c>
      <c r="H2" s="6"/>
      <c r="I2" s="6"/>
      <c r="J2" s="66" t="s">
        <v>296</v>
      </c>
      <c r="L2" s="5"/>
      <c r="M2" s="5"/>
    </row>
    <row r="3" spans="1:18" ht="14.45" x14ac:dyDescent="0.3">
      <c r="A3" s="9">
        <v>1</v>
      </c>
      <c r="B3" s="9">
        <v>1</v>
      </c>
      <c r="C3" s="6" t="s">
        <v>304</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E2" sqref="E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329</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T1" workbookViewId="0">
      <selection activeCell="AE4" sqref="AE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Document Information</vt:lpstr>
      <vt:lpstr>Configuration Parameters</vt:lpstr>
      <vt:lpstr>Row Count &amp; Metrics Collection</vt:lpstr>
      <vt:lpstr>Test Script Execution</vt:lpstr>
      <vt:lpstr>Sheet1</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2017-11-28T10:10:22Z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